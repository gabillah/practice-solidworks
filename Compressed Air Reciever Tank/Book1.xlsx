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gabillah\12gabillah\Rangkuman Engineering\Mechanical Engineering\practice-engineering-drawing (main branch)\Compressed Air Reciever Tank\"/>
    </mc:Choice>
  </mc:AlternateContent>
  <xr:revisionPtr revIDLastSave="0" documentId="13_ncr:1_{5A9FCAEB-425E-4F6C-BA09-D456A3EDCEB2}" xr6:coauthVersionLast="47" xr6:coauthVersionMax="47" xr10:uidLastSave="{00000000-0000-0000-0000-000000000000}"/>
  <bookViews>
    <workbookView xWindow="11424" yWindow="0" windowWidth="11712" windowHeight="12336" xr2:uid="{92872E83-AF1A-4DCA-831A-A99DD64CB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3" i="1"/>
  <c r="AA9" i="1"/>
  <c r="Z5" i="1"/>
  <c r="Z6" i="1"/>
  <c r="Z7" i="1"/>
  <c r="Z8" i="1"/>
  <c r="Z9" i="1"/>
  <c r="I4" i="1"/>
  <c r="I5" i="1"/>
  <c r="I6" i="1"/>
  <c r="I7" i="1"/>
  <c r="I8" i="1"/>
  <c r="I9" i="1"/>
  <c r="I3" i="1"/>
  <c r="J5" i="1"/>
  <c r="J7" i="1"/>
  <c r="J8" i="1"/>
  <c r="J9" i="1"/>
  <c r="F9" i="1"/>
  <c r="M9" i="1" s="1"/>
  <c r="F8" i="1"/>
  <c r="N8" i="1" s="1"/>
  <c r="F7" i="1"/>
  <c r="M7" i="1" s="1"/>
  <c r="F6" i="1"/>
  <c r="AA6" i="1" s="1"/>
  <c r="F5" i="1"/>
  <c r="AA5" i="1" s="1"/>
  <c r="F4" i="1"/>
  <c r="N4" i="1" s="1"/>
  <c r="F3" i="1"/>
  <c r="M3" i="1" s="1"/>
  <c r="AA4" i="1" l="1"/>
  <c r="Z4" i="1"/>
  <c r="AA8" i="1"/>
  <c r="AA3" i="1"/>
  <c r="AA7" i="1"/>
  <c r="Z3" i="1"/>
  <c r="L4" i="1"/>
  <c r="L3" i="1"/>
  <c r="N9" i="1"/>
  <c r="L9" i="1"/>
  <c r="M8" i="1"/>
  <c r="L8" i="1"/>
  <c r="N7" i="1"/>
  <c r="L7" i="1"/>
  <c r="N3" i="1"/>
  <c r="N6" i="1"/>
  <c r="M4" i="1"/>
  <c r="M6" i="1"/>
  <c r="L6" i="1"/>
  <c r="N5" i="1"/>
  <c r="M5" i="1"/>
  <c r="L5" i="1"/>
</calcChain>
</file>

<file path=xl/sharedStrings.xml><?xml version="1.0" encoding="utf-8"?>
<sst xmlns="http://schemas.openxmlformats.org/spreadsheetml/2006/main" count="89" uniqueCount="52">
  <si>
    <t>Sketch 1</t>
  </si>
  <si>
    <t>Name</t>
  </si>
  <si>
    <t>041 594</t>
  </si>
  <si>
    <t>036 695</t>
  </si>
  <si>
    <t>L</t>
  </si>
  <si>
    <t>H</t>
  </si>
  <si>
    <t>Lb</t>
  </si>
  <si>
    <t>Lm</t>
  </si>
  <si>
    <t>a</t>
  </si>
  <si>
    <t>d</t>
  </si>
  <si>
    <t>D/2</t>
  </si>
  <si>
    <t>b</t>
  </si>
  <si>
    <t>041 595</t>
  </si>
  <si>
    <t>Sb</t>
  </si>
  <si>
    <t>036 832</t>
  </si>
  <si>
    <t>036 820</t>
  </si>
  <si>
    <t>041 597</t>
  </si>
  <si>
    <t>037 427</t>
  </si>
  <si>
    <t>Revolve 1</t>
  </si>
  <si>
    <t>Sketch 3</t>
  </si>
  <si>
    <t>Sketch 7</t>
  </si>
  <si>
    <t>Extrude 6</t>
  </si>
  <si>
    <t>Sketch 8</t>
  </si>
  <si>
    <t>Extrude 7</t>
  </si>
  <si>
    <t>Fillet 5</t>
  </si>
  <si>
    <t>Fillet 6</t>
  </si>
  <si>
    <t>Fillet 7</t>
  </si>
  <si>
    <t>Mirror 1</t>
  </si>
  <si>
    <t>Sketch 9</t>
  </si>
  <si>
    <t>Sketch 10</t>
  </si>
  <si>
    <t>Sketch 11</t>
  </si>
  <si>
    <t>Extrude 11</t>
  </si>
  <si>
    <t>Sketch 12</t>
  </si>
  <si>
    <t>Extrude 12</t>
  </si>
  <si>
    <t>Extrude 13</t>
  </si>
  <si>
    <t>Fillet 10</t>
  </si>
  <si>
    <t>Fillet 11</t>
  </si>
  <si>
    <t>Fillet 12</t>
  </si>
  <si>
    <t>Fillet 13</t>
  </si>
  <si>
    <t>Mirror 4</t>
  </si>
  <si>
    <t>Distance</t>
  </si>
  <si>
    <t>Unsuppressed</t>
  </si>
  <si>
    <t>1/2 in</t>
  </si>
  <si>
    <t>1 in</t>
  </si>
  <si>
    <t>G2</t>
  </si>
  <si>
    <t>2 in</t>
  </si>
  <si>
    <t>1 in + 1/2 in</t>
  </si>
  <si>
    <t>G3</t>
  </si>
  <si>
    <t>G1</t>
  </si>
  <si>
    <t>g</t>
  </si>
  <si>
    <t>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</si>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</sst>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14BE-2DF5-45B3-8711-6781B4E0239C}">
  <dimension ref="A1:BB9"/>
  <sheetViews>
    <sheetView tabSelected="1" workbookViewId="0">
      <selection activeCell="F18" sqref="F18"/>
    </sheetView>
  </sheetViews>
  <sheetFormatPr defaultRowHeight="14.4" x14ac:dyDescent="0.3"/>
  <sheetData>
    <row r="1" spans="1:54" x14ac:dyDescent="0.3">
      <c r="B1" t="s">
        <v>0</v>
      </c>
      <c r="Q1" t="s">
        <v>18</v>
      </c>
      <c r="R1" t="s">
        <v>19</v>
      </c>
      <c r="Z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</row>
    <row r="2" spans="1:54" x14ac:dyDescent="0.3">
      <c r="A2" t="s">
        <v>1</v>
      </c>
      <c r="B2" t="s">
        <v>4</v>
      </c>
      <c r="C2" t="s">
        <v>5</v>
      </c>
      <c r="D2" t="s">
        <v>6</v>
      </c>
      <c r="E2" t="s">
        <v>7</v>
      </c>
      <c r="F2" t="s">
        <v>10</v>
      </c>
      <c r="G2" t="s">
        <v>9</v>
      </c>
      <c r="H2" t="s">
        <v>8</v>
      </c>
      <c r="I2" t="s">
        <v>8</v>
      </c>
      <c r="J2" t="s">
        <v>9</v>
      </c>
      <c r="K2" t="s">
        <v>11</v>
      </c>
      <c r="L2" t="s">
        <v>10</v>
      </c>
      <c r="M2" t="s">
        <v>10</v>
      </c>
      <c r="N2" t="s">
        <v>10</v>
      </c>
      <c r="O2" t="s">
        <v>51</v>
      </c>
      <c r="Q2" t="s">
        <v>13</v>
      </c>
      <c r="R2" t="s">
        <v>47</v>
      </c>
      <c r="Z2" t="s">
        <v>40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44</v>
      </c>
      <c r="AJ2" t="s">
        <v>48</v>
      </c>
      <c r="AK2" t="s">
        <v>49</v>
      </c>
      <c r="AL2" t="s">
        <v>50</v>
      </c>
      <c r="AM2" t="s">
        <v>41</v>
      </c>
      <c r="AN2" t="s">
        <v>41</v>
      </c>
      <c r="AO2" t="s">
        <v>41</v>
      </c>
      <c r="AP2" t="s">
        <v>41</v>
      </c>
      <c r="AQ2" t="s">
        <v>41</v>
      </c>
      <c r="AR2" t="s">
        <v>41</v>
      </c>
      <c r="AS2" t="s">
        <v>41</v>
      </c>
      <c r="AT2" t="s">
        <v>41</v>
      </c>
      <c r="AU2" t="s">
        <v>41</v>
      </c>
    </row>
    <row r="3" spans="1:54" x14ac:dyDescent="0.3">
      <c r="A3" s="1" t="s">
        <v>2</v>
      </c>
      <c r="B3">
        <v>1170</v>
      </c>
      <c r="C3">
        <v>1270</v>
      </c>
      <c r="D3">
        <v>85</v>
      </c>
      <c r="E3">
        <v>1000</v>
      </c>
      <c r="F3">
        <f>324/2</f>
        <v>162</v>
      </c>
      <c r="G3">
        <v>350</v>
      </c>
      <c r="H3">
        <v>50</v>
      </c>
      <c r="I3">
        <f>H3</f>
        <v>50</v>
      </c>
      <c r="J3">
        <v>100</v>
      </c>
      <c r="K3">
        <v>600</v>
      </c>
      <c r="L3">
        <f>$F3</f>
        <v>162</v>
      </c>
      <c r="M3">
        <f>$F3</f>
        <v>162</v>
      </c>
      <c r="N3">
        <f>$F3</f>
        <v>162</v>
      </c>
      <c r="O3">
        <v>10</v>
      </c>
      <c r="P3">
        <f>E3/2</f>
        <v>500</v>
      </c>
      <c r="Q3">
        <v>4</v>
      </c>
      <c r="R3" t="s">
        <v>42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>
        <f>F3</f>
        <v>162</v>
      </c>
      <c r="AA3">
        <f>0.6 * F3</f>
        <v>97.2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s">
        <v>45</v>
      </c>
      <c r="AJ3" t="s">
        <v>43</v>
      </c>
      <c r="AK3">
        <v>60</v>
      </c>
      <c r="AL3">
        <v>100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</row>
    <row r="4" spans="1:54" x14ac:dyDescent="0.3">
      <c r="A4" s="1" t="s">
        <v>12</v>
      </c>
      <c r="B4">
        <v>1410</v>
      </c>
      <c r="C4">
        <v>1560</v>
      </c>
      <c r="D4">
        <v>125</v>
      </c>
      <c r="E4">
        <v>1160</v>
      </c>
      <c r="F4">
        <f>500/2</f>
        <v>250</v>
      </c>
      <c r="G4">
        <v>350</v>
      </c>
      <c r="H4">
        <v>250</v>
      </c>
      <c r="I4">
        <f t="shared" ref="I4:I9" si="0">H4</f>
        <v>250</v>
      </c>
      <c r="J4">
        <v>150</v>
      </c>
      <c r="K4">
        <v>860</v>
      </c>
      <c r="L4">
        <f>$F4</f>
        <v>250</v>
      </c>
      <c r="M4">
        <f>$F4</f>
        <v>250</v>
      </c>
      <c r="N4">
        <f>$F4</f>
        <v>250</v>
      </c>
      <c r="O4">
        <v>10</v>
      </c>
      <c r="P4">
        <f t="shared" ref="P4:P9" si="1">E4/2</f>
        <v>580</v>
      </c>
      <c r="Q4">
        <v>6</v>
      </c>
      <c r="R4" t="s">
        <v>42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>
        <f t="shared" ref="Z4:Z9" si="2">F4</f>
        <v>250</v>
      </c>
      <c r="AA4">
        <f t="shared" ref="AA4:AA9" si="3">0.6 * F4</f>
        <v>150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s">
        <v>43</v>
      </c>
      <c r="AJ4" t="s">
        <v>43</v>
      </c>
      <c r="AK4">
        <v>140</v>
      </c>
      <c r="AL4">
        <v>160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</row>
    <row r="5" spans="1:54" x14ac:dyDescent="0.3">
      <c r="A5" s="1" t="s">
        <v>3</v>
      </c>
      <c r="B5">
        <v>1940</v>
      </c>
      <c r="C5">
        <v>2090</v>
      </c>
      <c r="D5">
        <v>150</v>
      </c>
      <c r="E5">
        <v>1640</v>
      </c>
      <c r="F5">
        <f>600/2</f>
        <v>300</v>
      </c>
      <c r="G5">
        <v>200</v>
      </c>
      <c r="H5">
        <v>250</v>
      </c>
      <c r="I5">
        <f t="shared" si="0"/>
        <v>250</v>
      </c>
      <c r="J5">
        <f t="shared" ref="J5:J9" si="4">G5</f>
        <v>200</v>
      </c>
      <c r="K5">
        <v>1100</v>
      </c>
      <c r="L5">
        <f t="shared" ref="L5:N9" si="5">$F5</f>
        <v>300</v>
      </c>
      <c r="M5">
        <f t="shared" si="5"/>
        <v>300</v>
      </c>
      <c r="N5">
        <f t="shared" si="5"/>
        <v>300</v>
      </c>
      <c r="O5">
        <v>10</v>
      </c>
      <c r="P5">
        <f t="shared" si="1"/>
        <v>820</v>
      </c>
      <c r="Q5">
        <v>7</v>
      </c>
      <c r="R5" t="s">
        <v>42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>
        <f t="shared" si="2"/>
        <v>300</v>
      </c>
      <c r="AA5">
        <f t="shared" si="3"/>
        <v>180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s">
        <v>43</v>
      </c>
      <c r="AJ5" t="s">
        <v>43</v>
      </c>
      <c r="AK5">
        <v>140</v>
      </c>
      <c r="AL5">
        <v>160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</row>
    <row r="6" spans="1:54" x14ac:dyDescent="0.3">
      <c r="A6" s="1" t="s">
        <v>14</v>
      </c>
      <c r="B6">
        <v>1700</v>
      </c>
      <c r="C6">
        <v>1850</v>
      </c>
      <c r="D6">
        <v>200</v>
      </c>
      <c r="E6">
        <v>1300</v>
      </c>
      <c r="F6">
        <f>800/2</f>
        <v>400</v>
      </c>
      <c r="G6">
        <v>350</v>
      </c>
      <c r="H6">
        <v>250</v>
      </c>
      <c r="I6">
        <f t="shared" si="0"/>
        <v>250</v>
      </c>
      <c r="J6">
        <v>250</v>
      </c>
      <c r="K6">
        <v>900</v>
      </c>
      <c r="L6">
        <f t="shared" si="5"/>
        <v>400</v>
      </c>
      <c r="M6">
        <f t="shared" si="5"/>
        <v>400</v>
      </c>
      <c r="N6">
        <f t="shared" si="5"/>
        <v>400</v>
      </c>
      <c r="O6">
        <v>12</v>
      </c>
      <c r="P6">
        <f t="shared" si="1"/>
        <v>650</v>
      </c>
      <c r="Q6">
        <v>8</v>
      </c>
      <c r="R6" t="s">
        <v>42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>
        <f t="shared" si="2"/>
        <v>400</v>
      </c>
      <c r="AA6">
        <f t="shared" si="3"/>
        <v>240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s">
        <v>46</v>
      </c>
      <c r="AJ6" t="s">
        <v>46</v>
      </c>
      <c r="AK6">
        <v>160</v>
      </c>
      <c r="AL6">
        <v>180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</row>
    <row r="7" spans="1:54" x14ac:dyDescent="0.3">
      <c r="A7" s="1" t="s">
        <v>15</v>
      </c>
      <c r="B7">
        <v>2200</v>
      </c>
      <c r="C7">
        <v>2350</v>
      </c>
      <c r="D7">
        <v>200</v>
      </c>
      <c r="E7">
        <v>1800</v>
      </c>
      <c r="F7">
        <f>800/2</f>
        <v>400</v>
      </c>
      <c r="G7">
        <v>300</v>
      </c>
      <c r="H7">
        <v>300</v>
      </c>
      <c r="I7">
        <f t="shared" si="0"/>
        <v>300</v>
      </c>
      <c r="J7">
        <f t="shared" si="4"/>
        <v>300</v>
      </c>
      <c r="K7">
        <v>1100</v>
      </c>
      <c r="L7">
        <f t="shared" si="5"/>
        <v>400</v>
      </c>
      <c r="M7">
        <f t="shared" si="5"/>
        <v>400</v>
      </c>
      <c r="N7">
        <f t="shared" si="5"/>
        <v>400</v>
      </c>
      <c r="O7">
        <v>12</v>
      </c>
      <c r="P7">
        <f t="shared" si="1"/>
        <v>900</v>
      </c>
      <c r="Q7">
        <v>8</v>
      </c>
      <c r="R7" t="s">
        <v>42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>
        <f t="shared" si="2"/>
        <v>400</v>
      </c>
      <c r="AA7">
        <f t="shared" si="3"/>
        <v>240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s">
        <v>46</v>
      </c>
      <c r="AJ7" t="s">
        <v>46</v>
      </c>
      <c r="AK7">
        <v>180</v>
      </c>
      <c r="AL7">
        <v>200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</row>
    <row r="8" spans="1:54" x14ac:dyDescent="0.3">
      <c r="A8" s="1" t="s">
        <v>16</v>
      </c>
      <c r="B8">
        <v>2180</v>
      </c>
      <c r="C8">
        <v>2330</v>
      </c>
      <c r="D8">
        <v>240</v>
      </c>
      <c r="E8">
        <v>1700</v>
      </c>
      <c r="F8">
        <f>1000/2</f>
        <v>500</v>
      </c>
      <c r="G8">
        <v>400</v>
      </c>
      <c r="H8">
        <v>300</v>
      </c>
      <c r="I8">
        <f t="shared" si="0"/>
        <v>300</v>
      </c>
      <c r="J8">
        <f t="shared" si="4"/>
        <v>400</v>
      </c>
      <c r="K8">
        <v>1100</v>
      </c>
      <c r="L8">
        <f t="shared" si="5"/>
        <v>500</v>
      </c>
      <c r="M8">
        <f t="shared" si="5"/>
        <v>500</v>
      </c>
      <c r="N8">
        <f t="shared" si="5"/>
        <v>500</v>
      </c>
      <c r="O8">
        <v>14</v>
      </c>
      <c r="P8">
        <f t="shared" si="1"/>
        <v>850</v>
      </c>
      <c r="Q8">
        <v>10</v>
      </c>
      <c r="R8" t="s">
        <v>42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>
        <f t="shared" si="2"/>
        <v>500</v>
      </c>
      <c r="AA8">
        <f t="shared" si="3"/>
        <v>300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s">
        <v>46</v>
      </c>
      <c r="AJ8" t="s">
        <v>46</v>
      </c>
      <c r="AK8">
        <v>180</v>
      </c>
      <c r="AL8">
        <v>200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</row>
    <row r="9" spans="1:54" x14ac:dyDescent="0.3">
      <c r="A9" s="1" t="s">
        <v>17</v>
      </c>
      <c r="B9">
        <v>2400</v>
      </c>
      <c r="C9">
        <v>2550</v>
      </c>
      <c r="D9">
        <v>315</v>
      </c>
      <c r="E9">
        <v>1770</v>
      </c>
      <c r="F9">
        <f>1100/2</f>
        <v>550</v>
      </c>
      <c r="G9">
        <v>400</v>
      </c>
      <c r="H9">
        <v>300</v>
      </c>
      <c r="I9">
        <f t="shared" si="0"/>
        <v>300</v>
      </c>
      <c r="J9">
        <f t="shared" si="4"/>
        <v>400</v>
      </c>
      <c r="K9">
        <v>1100</v>
      </c>
      <c r="L9">
        <f t="shared" si="5"/>
        <v>550</v>
      </c>
      <c r="M9">
        <f t="shared" si="5"/>
        <v>550</v>
      </c>
      <c r="N9">
        <f t="shared" si="5"/>
        <v>550</v>
      </c>
      <c r="O9">
        <v>14</v>
      </c>
      <c r="P9">
        <f t="shared" si="1"/>
        <v>885</v>
      </c>
      <c r="Q9">
        <v>8</v>
      </c>
      <c r="R9" t="s">
        <v>42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>
        <f t="shared" si="2"/>
        <v>550</v>
      </c>
      <c r="AA9">
        <f t="shared" si="3"/>
        <v>330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s">
        <v>46</v>
      </c>
      <c r="AJ9" t="s">
        <v>46</v>
      </c>
      <c r="AK9">
        <v>180</v>
      </c>
      <c r="AL9">
        <v>200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halli bagaffad</dc:creator>
  <cp:lastModifiedBy>halli bagaffad</cp:lastModifiedBy>
  <dcterms:created xsi:type="dcterms:W3CDTF">2025-02-28T06:51:03Z</dcterms:created>
  <dcterms:modified xsi:type="dcterms:W3CDTF">2025-03-04T04:01:40Z</dcterms:modified>
</cp:coreProperties>
</file>